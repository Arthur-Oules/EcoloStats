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slyonfr-my.sharepoint.com/personal/bastien_dubois_ens-lyon_fr/Documents/ENS/S6 - L3 Biosciences/TP_Ecologie/BD_Ecolostats/Data/"/>
    </mc:Choice>
  </mc:AlternateContent>
  <xr:revisionPtr revIDLastSave="21" documentId="11_37A7EA6AC04C4286EE8B1365A41B7CE6DE2DB247" xr6:coauthVersionLast="47" xr6:coauthVersionMax="47" xr10:uidLastSave="{68DCC26B-E894-4F03-BFD9-831008FE7CBD}"/>
  <bookViews>
    <workbookView xWindow="22932" yWindow="-60" windowWidth="23256" windowHeight="12456" firstSheet="9" activeTab="13" xr2:uid="{00000000-000D-0000-FFFF-FFFF00000000}"/>
  </bookViews>
  <sheets>
    <sheet name="Site_13_Placette_A" sheetId="1" r:id="rId1"/>
    <sheet name="Site_13_Placette_B" sheetId="2" r:id="rId2"/>
    <sheet name="Site_14_Placette_A" sheetId="3" r:id="rId3"/>
    <sheet name="Site_14_Placette_B" sheetId="4" r:id="rId4"/>
    <sheet name="Site_15_Placette_A" sheetId="5" r:id="rId5"/>
    <sheet name="Site_15_Placette_B" sheetId="6" r:id="rId6"/>
    <sheet name="Site_16_Placette_A" sheetId="7" r:id="rId7"/>
    <sheet name="Site_16_Placette_B" sheetId="8" r:id="rId8"/>
    <sheet name="Site_17_Placette_A" sheetId="9" r:id="rId9"/>
    <sheet name="Site_17_Placette_B" sheetId="10" r:id="rId10"/>
    <sheet name="Site_5_Placette_A" sheetId="11" r:id="rId11"/>
    <sheet name="Site_5_Placette_B" sheetId="12" r:id="rId12"/>
    <sheet name="Site_19_Placette_A" sheetId="13" r:id="rId13"/>
    <sheet name="Site_19_Placette_B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4" l="1"/>
  <c r="M23" i="14"/>
  <c r="M22" i="1"/>
  <c r="M23" i="1"/>
  <c r="L24" i="14"/>
  <c r="K24" i="14"/>
  <c r="J24" i="14"/>
  <c r="I24" i="14"/>
  <c r="H24" i="14"/>
  <c r="G24" i="14"/>
  <c r="F24" i="14"/>
  <c r="E24" i="14"/>
  <c r="D24" i="14"/>
  <c r="C24" i="14"/>
  <c r="B24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  <c r="L22" i="13"/>
  <c r="K22" i="13"/>
  <c r="J22" i="13"/>
  <c r="I22" i="13"/>
  <c r="H22" i="13"/>
  <c r="G22" i="13"/>
  <c r="F22" i="13"/>
  <c r="E22" i="13"/>
  <c r="M22" i="13" s="1"/>
  <c r="D22" i="13"/>
  <c r="C22" i="13"/>
  <c r="B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M22" i="12"/>
  <c r="L22" i="12"/>
  <c r="K22" i="12"/>
  <c r="J22" i="12"/>
  <c r="I22" i="12"/>
  <c r="H22" i="12"/>
  <c r="G22" i="12"/>
  <c r="F22" i="12"/>
  <c r="E22" i="12"/>
  <c r="D22" i="12"/>
  <c r="C22" i="12"/>
  <c r="B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2" i="12"/>
  <c r="L22" i="11"/>
  <c r="K22" i="11"/>
  <c r="J22" i="11"/>
  <c r="I22" i="11"/>
  <c r="H22" i="11"/>
  <c r="G22" i="11"/>
  <c r="F22" i="11"/>
  <c r="E22" i="11"/>
  <c r="M22" i="11" s="1"/>
  <c r="D22" i="11"/>
  <c r="C22" i="11"/>
  <c r="B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L22" i="9"/>
  <c r="K22" i="9"/>
  <c r="J22" i="9"/>
  <c r="I22" i="9"/>
  <c r="H22" i="9"/>
  <c r="G22" i="9"/>
  <c r="F22" i="9"/>
  <c r="E22" i="9"/>
  <c r="M22" i="9" s="1"/>
  <c r="D22" i="9"/>
  <c r="C22" i="9"/>
  <c r="B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L22" i="8"/>
  <c r="K22" i="8"/>
  <c r="J22" i="8"/>
  <c r="I22" i="8"/>
  <c r="H22" i="8"/>
  <c r="G22" i="8"/>
  <c r="F22" i="8"/>
  <c r="E22" i="8"/>
  <c r="M22" i="8" s="1"/>
  <c r="D22" i="8"/>
  <c r="C22" i="8"/>
  <c r="B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L24" i="7"/>
  <c r="K24" i="7"/>
  <c r="J24" i="7"/>
  <c r="I24" i="7"/>
  <c r="H24" i="7"/>
  <c r="G24" i="7"/>
  <c r="F24" i="7"/>
  <c r="E24" i="7"/>
  <c r="M24" i="7" s="1"/>
  <c r="D24" i="7"/>
  <c r="C24" i="7"/>
  <c r="B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L22" i="6"/>
  <c r="K22" i="6"/>
  <c r="J22" i="6"/>
  <c r="I22" i="6"/>
  <c r="H22" i="6"/>
  <c r="G22" i="6"/>
  <c r="F22" i="6"/>
  <c r="E22" i="6"/>
  <c r="D22" i="6"/>
  <c r="C22" i="6"/>
  <c r="B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L22" i="5"/>
  <c r="K22" i="5"/>
  <c r="J22" i="5"/>
  <c r="I22" i="5"/>
  <c r="H22" i="5"/>
  <c r="G22" i="5"/>
  <c r="F22" i="5"/>
  <c r="E22" i="5"/>
  <c r="D22" i="5"/>
  <c r="C22" i="5"/>
  <c r="B22" i="5"/>
  <c r="M22" i="5" s="1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L22" i="4"/>
  <c r="K22" i="4"/>
  <c r="J22" i="4"/>
  <c r="I22" i="4"/>
  <c r="H22" i="4"/>
  <c r="G22" i="4"/>
  <c r="F22" i="4"/>
  <c r="E22" i="4"/>
  <c r="M22" i="4" s="1"/>
  <c r="D22" i="4"/>
  <c r="C22" i="4"/>
  <c r="B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22" i="3"/>
  <c r="K22" i="3"/>
  <c r="J22" i="3"/>
  <c r="I22" i="3"/>
  <c r="H22" i="3"/>
  <c r="G22" i="3"/>
  <c r="F22" i="3"/>
  <c r="E22" i="3"/>
  <c r="M22" i="3" s="1"/>
  <c r="D22" i="3"/>
  <c r="C22" i="3"/>
  <c r="B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22" i="2"/>
  <c r="K22" i="2"/>
  <c r="J22" i="2"/>
  <c r="I22" i="2"/>
  <c r="H22" i="2"/>
  <c r="G22" i="2"/>
  <c r="F22" i="2"/>
  <c r="E22" i="2"/>
  <c r="M22" i="2" s="1"/>
  <c r="D22" i="2"/>
  <c r="C22" i="2"/>
  <c r="B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24" i="1"/>
  <c r="K24" i="1"/>
  <c r="J24" i="1"/>
  <c r="I24" i="1"/>
  <c r="H24" i="1"/>
  <c r="G24" i="1"/>
  <c r="F24" i="1"/>
  <c r="E24" i="1"/>
  <c r="D24" i="1"/>
  <c r="C24" i="1"/>
  <c r="B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4" i="14" l="1"/>
  <c r="M24" i="1"/>
  <c r="M22" i="6"/>
</calcChain>
</file>

<file path=xl/sharedStrings.xml><?xml version="1.0" encoding="utf-8"?>
<sst xmlns="http://schemas.openxmlformats.org/spreadsheetml/2006/main" count="496" uniqueCount="36">
  <si>
    <t>Espece</t>
  </si>
  <si>
    <t>25-34</t>
  </si>
  <si>
    <t>35-44</t>
  </si>
  <si>
    <t>45-54</t>
  </si>
  <si>
    <t>55-64</t>
  </si>
  <si>
    <t>65-74</t>
  </si>
  <si>
    <t>75-84</t>
  </si>
  <si>
    <t>85-94</t>
  </si>
  <si>
    <t>95-104</t>
  </si>
  <si>
    <t>105-114</t>
  </si>
  <si>
    <t>115-124</t>
  </si>
  <si>
    <t>&gt;125</t>
  </si>
  <si>
    <t>Total</t>
  </si>
  <si>
    <t>Hauteur_Dominante_(m)</t>
  </si>
  <si>
    <t>Acer_campestre</t>
  </si>
  <si>
    <t>Acer_platanoides</t>
  </si>
  <si>
    <t>Alnus_glutinosa</t>
  </si>
  <si>
    <t>Carpinus_betulus</t>
  </si>
  <si>
    <t>Castanea_sativa</t>
  </si>
  <si>
    <t>Corylus_avellana</t>
  </si>
  <si>
    <t>Crataegus_sp</t>
  </si>
  <si>
    <t>Ilex_aquifolium</t>
  </si>
  <si>
    <t>Populus_nigra</t>
  </si>
  <si>
    <t>Prunus_avium</t>
  </si>
  <si>
    <t>Quercus_petraea</t>
  </si>
  <si>
    <t>Quercus_pubescens</t>
  </si>
  <si>
    <t>Quercus_robur</t>
  </si>
  <si>
    <t>Robinia_pseudoacacia</t>
  </si>
  <si>
    <t>Salix_sp</t>
  </si>
  <si>
    <t>Sambucus_nigra</t>
  </si>
  <si>
    <t>Sorbus_acuparia</t>
  </si>
  <si>
    <t>Sorbus_torminalis</t>
  </si>
  <si>
    <t>Tillia_grandifolia</t>
  </si>
  <si>
    <t>Ulmus_sp.</t>
  </si>
  <si>
    <t>Prunus_sp.</t>
  </si>
  <si>
    <t>Fraxinus_excelsior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</si>
</sst>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sz val="11"/>
      <color rgb="FF000000"/>
      <name val="Arial"/>
    </font>
    <font>
      <i/>
      <sz val="10"/>
      <color rgb="FF000000"/>
      <name val="Arial"/>
    </font>
    <font>
      <sz val="11"/>
      <color theme="1"/>
      <name val="Arial"/>
    </font>
    <font>
      <i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workbookViewId="0">
      <selection activeCell="N25" sqref="N25"/>
    </sheetView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4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2</v>
      </c>
      <c r="N12" s="1">
        <v>5.75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>
        <v>4</v>
      </c>
      <c r="F13" s="1">
        <v>5</v>
      </c>
      <c r="G13" s="1">
        <v>2</v>
      </c>
      <c r="H13" s="1"/>
      <c r="I13" s="1">
        <v>2</v>
      </c>
      <c r="J13" s="1"/>
      <c r="K13" s="1"/>
      <c r="L13" s="1"/>
      <c r="M13" s="1">
        <f t="shared" si="0"/>
        <v>13</v>
      </c>
      <c r="N13" s="1">
        <v>16.850000000000001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>
        <v>4</v>
      </c>
      <c r="C20" s="1">
        <v>2</v>
      </c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6</v>
      </c>
      <c r="N20" s="1">
        <v>9.1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s="2" customFormat="1" ht="13.5" customHeight="1" x14ac:dyDescent="0.2">
      <c r="A22" s="2" t="s">
        <v>33</v>
      </c>
      <c r="M22" s="1">
        <f t="shared" si="0"/>
        <v>0</v>
      </c>
    </row>
    <row r="23" spans="1:25" s="2" customFormat="1" ht="13.5" customHeight="1" x14ac:dyDescent="0.2">
      <c r="A23" s="2" t="s">
        <v>34</v>
      </c>
      <c r="M23" s="1">
        <f t="shared" si="0"/>
        <v>0</v>
      </c>
    </row>
    <row r="24" spans="1:25" ht="13.5" customHeight="1" x14ac:dyDescent="0.2">
      <c r="A24" s="1" t="s">
        <v>12</v>
      </c>
      <c r="B24" s="1">
        <f t="shared" ref="B24:L24" si="1">SUM(B2:B21)</f>
        <v>6</v>
      </c>
      <c r="C24" s="1">
        <f t="shared" si="1"/>
        <v>2</v>
      </c>
      <c r="D24" s="1">
        <f t="shared" si="1"/>
        <v>0</v>
      </c>
      <c r="E24" s="1">
        <f t="shared" si="1"/>
        <v>4</v>
      </c>
      <c r="F24" s="1">
        <f t="shared" si="1"/>
        <v>5</v>
      </c>
      <c r="G24" s="1">
        <f t="shared" si="1"/>
        <v>2</v>
      </c>
      <c r="H24" s="1">
        <f t="shared" si="1"/>
        <v>0</v>
      </c>
      <c r="I24" s="1">
        <f t="shared" si="1"/>
        <v>2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0"/>
        <v>21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>
        <v>18</v>
      </c>
      <c r="C13" s="1">
        <v>24</v>
      </c>
      <c r="D13" s="1">
        <v>11</v>
      </c>
      <c r="E13" s="1">
        <v>3</v>
      </c>
      <c r="F13" s="1">
        <v>2</v>
      </c>
      <c r="G13" s="1"/>
      <c r="H13" s="1"/>
      <c r="I13" s="1">
        <v>1</v>
      </c>
      <c r="J13" s="1">
        <v>1</v>
      </c>
      <c r="K13" s="1"/>
      <c r="L13" s="1"/>
      <c r="M13" s="1">
        <f t="shared" si="0"/>
        <v>60</v>
      </c>
      <c r="N13" s="1">
        <v>16.7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1" t="s">
        <v>12</v>
      </c>
      <c r="B22" s="1">
        <f t="shared" ref="B22:L22" si="1">SUM(B2:B21)</f>
        <v>18</v>
      </c>
      <c r="C22" s="1">
        <f t="shared" si="1"/>
        <v>24</v>
      </c>
      <c r="D22" s="1">
        <f t="shared" si="1"/>
        <v>11</v>
      </c>
      <c r="E22" s="1">
        <f t="shared" si="1"/>
        <v>3</v>
      </c>
      <c r="F22" s="1">
        <f t="shared" si="1"/>
        <v>2</v>
      </c>
      <c r="G22" s="1">
        <f t="shared" si="1"/>
        <v>0</v>
      </c>
      <c r="H22" s="1">
        <f t="shared" si="1"/>
        <v>0</v>
      </c>
      <c r="I22" s="1">
        <f t="shared" si="1"/>
        <v>1</v>
      </c>
      <c r="J22" s="1">
        <f t="shared" si="1"/>
        <v>1</v>
      </c>
      <c r="K22" s="1">
        <f t="shared" si="1"/>
        <v>0</v>
      </c>
      <c r="L22" s="1">
        <f t="shared" si="1"/>
        <v>0</v>
      </c>
      <c r="M22" s="1">
        <f t="shared" si="0"/>
        <v>60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>
        <v>4</v>
      </c>
      <c r="H13" s="1">
        <v>4</v>
      </c>
      <c r="I13" s="1">
        <v>1</v>
      </c>
      <c r="J13" s="1"/>
      <c r="K13" s="1"/>
      <c r="L13" s="1">
        <v>6</v>
      </c>
      <c r="M13" s="1">
        <f t="shared" si="0"/>
        <v>15</v>
      </c>
      <c r="N13" s="1">
        <v>25.65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1</v>
      </c>
      <c r="N20" s="1">
        <v>2.9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1" t="s">
        <v>12</v>
      </c>
      <c r="B22" s="1">
        <f t="shared" ref="B22:L22" si="1">SUM(B2:B21)</f>
        <v>1</v>
      </c>
      <c r="C22" s="1">
        <f t="shared" si="1"/>
        <v>0</v>
      </c>
      <c r="D22" s="1">
        <f t="shared" si="1"/>
        <v>0</v>
      </c>
      <c r="E22" s="1">
        <f t="shared" si="1"/>
        <v>0</v>
      </c>
      <c r="F22" s="1">
        <f t="shared" si="1"/>
        <v>0</v>
      </c>
      <c r="G22" s="1">
        <f t="shared" si="1"/>
        <v>4</v>
      </c>
      <c r="H22" s="1">
        <f t="shared" si="1"/>
        <v>4</v>
      </c>
      <c r="I22" s="1">
        <f t="shared" si="1"/>
        <v>1</v>
      </c>
      <c r="J22" s="1">
        <f t="shared" si="1"/>
        <v>0</v>
      </c>
      <c r="K22" s="1">
        <f t="shared" si="1"/>
        <v>0</v>
      </c>
      <c r="L22" s="1">
        <f t="shared" si="1"/>
        <v>6</v>
      </c>
      <c r="M22" s="1">
        <f t="shared" si="0"/>
        <v>16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>
        <v>1</v>
      </c>
      <c r="C13" s="1">
        <v>1</v>
      </c>
      <c r="D13" s="1"/>
      <c r="E13" s="1"/>
      <c r="F13" s="1">
        <v>2</v>
      </c>
      <c r="G13" s="1">
        <v>4</v>
      </c>
      <c r="H13" s="1">
        <v>1</v>
      </c>
      <c r="I13" s="1">
        <v>2</v>
      </c>
      <c r="J13" s="1"/>
      <c r="K13" s="1">
        <v>2</v>
      </c>
      <c r="L13" s="1">
        <v>3</v>
      </c>
      <c r="M13" s="1">
        <f t="shared" si="0"/>
        <v>16</v>
      </c>
      <c r="N13" s="1">
        <v>22.6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1" t="s">
        <v>12</v>
      </c>
      <c r="B22" s="1">
        <f t="shared" ref="B22:L22" si="1">SUM(B2:B21)</f>
        <v>1</v>
      </c>
      <c r="C22" s="1">
        <f t="shared" si="1"/>
        <v>1</v>
      </c>
      <c r="D22" s="1">
        <f t="shared" si="1"/>
        <v>0</v>
      </c>
      <c r="E22" s="1">
        <f t="shared" si="1"/>
        <v>0</v>
      </c>
      <c r="F22" s="1">
        <f t="shared" si="1"/>
        <v>2</v>
      </c>
      <c r="G22" s="1">
        <f t="shared" si="1"/>
        <v>4</v>
      </c>
      <c r="H22" s="1">
        <f t="shared" si="1"/>
        <v>1</v>
      </c>
      <c r="I22" s="1">
        <f t="shared" si="1"/>
        <v>2</v>
      </c>
      <c r="J22" s="1">
        <f t="shared" si="1"/>
        <v>0</v>
      </c>
      <c r="K22" s="1">
        <f t="shared" si="1"/>
        <v>2</v>
      </c>
      <c r="L22" s="1">
        <f t="shared" si="1"/>
        <v>3</v>
      </c>
      <c r="M22" s="1">
        <f t="shared" si="0"/>
        <v>16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>
        <v>7</v>
      </c>
      <c r="C5" s="1">
        <v>6</v>
      </c>
      <c r="D5" s="1">
        <v>4</v>
      </c>
      <c r="E5" s="1">
        <v>1</v>
      </c>
      <c r="F5" s="1"/>
      <c r="G5" s="1">
        <v>1</v>
      </c>
      <c r="H5" s="1"/>
      <c r="I5" s="1"/>
      <c r="J5" s="1"/>
      <c r="K5" s="1"/>
      <c r="L5" s="1"/>
      <c r="M5" s="1">
        <f t="shared" si="0"/>
        <v>19</v>
      </c>
      <c r="N5" s="1">
        <v>19.649999999999999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>
        <v>1</v>
      </c>
      <c r="G13" s="1">
        <v>1</v>
      </c>
      <c r="H13" s="1">
        <v>1</v>
      </c>
      <c r="I13" s="1">
        <v>1</v>
      </c>
      <c r="J13" s="1"/>
      <c r="K13" s="1">
        <v>1</v>
      </c>
      <c r="L13" s="1">
        <v>1</v>
      </c>
      <c r="M13" s="1">
        <f t="shared" si="0"/>
        <v>6</v>
      </c>
      <c r="N13" s="1">
        <v>31.15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>
        <v>1</v>
      </c>
      <c r="D15" s="1"/>
      <c r="E15" s="1">
        <v>1</v>
      </c>
      <c r="F15" s="1">
        <v>1</v>
      </c>
      <c r="G15" s="1"/>
      <c r="H15" s="1"/>
      <c r="I15" s="1">
        <v>3</v>
      </c>
      <c r="J15" s="1">
        <v>1</v>
      </c>
      <c r="K15" s="1">
        <v>1</v>
      </c>
      <c r="L15" s="1">
        <v>4</v>
      </c>
      <c r="M15" s="1">
        <f t="shared" si="0"/>
        <v>12</v>
      </c>
      <c r="N15" s="1">
        <v>28.4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1" t="s">
        <v>12</v>
      </c>
      <c r="B22" s="1">
        <f t="shared" ref="B22:L22" si="1">SUM(B2:B21)</f>
        <v>7</v>
      </c>
      <c r="C22" s="1">
        <f t="shared" si="1"/>
        <v>7</v>
      </c>
      <c r="D22" s="1">
        <f t="shared" si="1"/>
        <v>4</v>
      </c>
      <c r="E22" s="1">
        <f t="shared" si="1"/>
        <v>2</v>
      </c>
      <c r="F22" s="1">
        <f t="shared" si="1"/>
        <v>2</v>
      </c>
      <c r="G22" s="1">
        <f t="shared" si="1"/>
        <v>2</v>
      </c>
      <c r="H22" s="1">
        <f t="shared" si="1"/>
        <v>1</v>
      </c>
      <c r="I22" s="1">
        <f t="shared" si="1"/>
        <v>4</v>
      </c>
      <c r="J22" s="1">
        <f t="shared" si="1"/>
        <v>1</v>
      </c>
      <c r="K22" s="1">
        <f t="shared" si="1"/>
        <v>2</v>
      </c>
      <c r="L22" s="1">
        <f t="shared" si="1"/>
        <v>5</v>
      </c>
      <c r="M22" s="1">
        <f t="shared" si="0"/>
        <v>37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selection activeCell="D18" sqref="D18"/>
    </sheetView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>
        <v>2</v>
      </c>
      <c r="C5" s="1">
        <v>2</v>
      </c>
      <c r="D5" s="1">
        <v>2</v>
      </c>
      <c r="E5" s="1"/>
      <c r="F5" s="1">
        <v>1</v>
      </c>
      <c r="G5" s="1"/>
      <c r="H5" s="1"/>
      <c r="I5" s="1"/>
      <c r="J5" s="1"/>
      <c r="K5" s="1"/>
      <c r="L5" s="1"/>
      <c r="M5" s="1">
        <f t="shared" si="0"/>
        <v>7</v>
      </c>
      <c r="N5" s="1">
        <v>18.899999999999999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8</v>
      </c>
      <c r="M13" s="1">
        <f t="shared" si="0"/>
        <v>8</v>
      </c>
      <c r="N13" s="1">
        <v>24.9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M14" s="1">
        <f>SUM(B14:L14)</f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</v>
      </c>
      <c r="M15" s="1">
        <f>SUM(B15:L15)</f>
        <v>1</v>
      </c>
      <c r="N15" s="1">
        <v>36.9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M16" s="1">
        <f t="shared" si="0"/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1" t="s">
        <v>12</v>
      </c>
      <c r="B22" s="1">
        <f t="shared" ref="B22:L22" si="1">SUM(B2:B21)</f>
        <v>2</v>
      </c>
      <c r="C22" s="1">
        <f t="shared" si="1"/>
        <v>2</v>
      </c>
      <c r="D22" s="1">
        <f t="shared" si="1"/>
        <v>2</v>
      </c>
      <c r="E22" s="1">
        <f t="shared" si="1"/>
        <v>0</v>
      </c>
      <c r="F22" s="1">
        <f t="shared" si="1"/>
        <v>1</v>
      </c>
      <c r="G22" s="1">
        <f t="shared" si="1"/>
        <v>0</v>
      </c>
      <c r="H22" s="1">
        <f t="shared" si="1"/>
        <v>0</v>
      </c>
      <c r="I22" s="1">
        <f t="shared" si="1"/>
        <v>0</v>
      </c>
      <c r="J22" s="1">
        <f t="shared" si="1"/>
        <v>0</v>
      </c>
      <c r="K22" s="1">
        <f t="shared" si="1"/>
        <v>0</v>
      </c>
      <c r="L22" s="1">
        <f t="shared" si="1"/>
        <v>9</v>
      </c>
      <c r="M22" s="1">
        <f t="shared" si="0"/>
        <v>16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>
      <selection activeCell="A22" sqref="A22:A23"/>
    </sheetView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4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>
        <v>1</v>
      </c>
      <c r="C5" s="1">
        <v>2</v>
      </c>
      <c r="D5" s="1">
        <v>2</v>
      </c>
      <c r="E5" s="1">
        <v>1</v>
      </c>
      <c r="F5" s="1"/>
      <c r="G5" s="1">
        <v>1</v>
      </c>
      <c r="H5" s="1">
        <v>1</v>
      </c>
      <c r="I5" s="1"/>
      <c r="J5" s="1"/>
      <c r="K5" s="1"/>
      <c r="L5" s="1"/>
      <c r="M5" s="1">
        <f t="shared" si="0"/>
        <v>8</v>
      </c>
      <c r="N5" s="1">
        <v>18.100000000000001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>
        <v>1</v>
      </c>
      <c r="C9" s="1"/>
      <c r="D9" s="1"/>
      <c r="E9" s="1"/>
      <c r="F9" s="1"/>
      <c r="G9" s="1"/>
      <c r="H9" s="1"/>
      <c r="I9" s="1"/>
      <c r="J9" s="1">
        <v>1</v>
      </c>
      <c r="K9" s="1"/>
      <c r="L9" s="1"/>
      <c r="M9" s="1">
        <f t="shared" si="0"/>
        <v>2</v>
      </c>
      <c r="N9" s="1">
        <v>23.85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9" customHeight="1" x14ac:dyDescent="0.2">
      <c r="A22" s="2" t="s">
        <v>33</v>
      </c>
      <c r="B22" s="1"/>
      <c r="C22" s="1"/>
      <c r="D22" s="1">
        <v>1</v>
      </c>
      <c r="E22" s="1"/>
      <c r="F22" s="1"/>
      <c r="G22" s="1"/>
      <c r="H22" s="1"/>
      <c r="I22" s="1"/>
      <c r="J22" s="1"/>
      <c r="K22" s="1"/>
      <c r="L22" s="1"/>
      <c r="M22" s="1">
        <f t="shared" si="0"/>
        <v>1</v>
      </c>
      <c r="N22" s="1">
        <v>17.100000000000001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2" t="s">
        <v>34</v>
      </c>
      <c r="B23" s="1"/>
      <c r="C23" s="1"/>
      <c r="D23" s="1"/>
      <c r="E23" s="1">
        <v>1</v>
      </c>
      <c r="F23" s="1"/>
      <c r="G23" s="1"/>
      <c r="H23" s="1"/>
      <c r="I23" s="1"/>
      <c r="J23" s="1"/>
      <c r="K23" s="1"/>
      <c r="L23" s="1"/>
      <c r="M23" s="1">
        <f t="shared" si="0"/>
        <v>1</v>
      </c>
      <c r="N23" s="1">
        <v>8.35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 t="s">
        <v>12</v>
      </c>
      <c r="B24" s="1">
        <f t="shared" ref="B24:L24" si="1">SUM(B4:B23)</f>
        <v>2</v>
      </c>
      <c r="C24" s="1">
        <f t="shared" si="1"/>
        <v>2</v>
      </c>
      <c r="D24" s="1">
        <f t="shared" si="1"/>
        <v>3</v>
      </c>
      <c r="E24" s="1">
        <f t="shared" si="1"/>
        <v>2</v>
      </c>
      <c r="F24" s="1">
        <f t="shared" si="1"/>
        <v>0</v>
      </c>
      <c r="G24" s="1">
        <f t="shared" si="1"/>
        <v>1</v>
      </c>
      <c r="H24" s="1">
        <f t="shared" si="1"/>
        <v>1</v>
      </c>
      <c r="I24" s="1">
        <f t="shared" si="1"/>
        <v>0</v>
      </c>
      <c r="J24" s="1">
        <f t="shared" si="1"/>
        <v>1</v>
      </c>
      <c r="K24" s="1">
        <f t="shared" si="1"/>
        <v>0</v>
      </c>
      <c r="L24" s="1">
        <f t="shared" si="1"/>
        <v>0</v>
      </c>
      <c r="M24" s="1">
        <f t="shared" si="0"/>
        <v>12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>
        <v>4</v>
      </c>
      <c r="C5" s="1">
        <v>5</v>
      </c>
      <c r="D5" s="1">
        <v>12</v>
      </c>
      <c r="E5" s="1">
        <v>12</v>
      </c>
      <c r="F5" s="1">
        <v>7</v>
      </c>
      <c r="G5" s="1">
        <v>1</v>
      </c>
      <c r="H5" s="1"/>
      <c r="I5" s="1"/>
      <c r="J5" s="1"/>
      <c r="K5" s="1"/>
      <c r="L5" s="1"/>
      <c r="M5" s="1">
        <f t="shared" si="0"/>
        <v>41</v>
      </c>
      <c r="N5" s="1">
        <v>23.35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>
        <v>3</v>
      </c>
      <c r="E9" s="1"/>
      <c r="F9" s="1"/>
      <c r="G9" s="1"/>
      <c r="H9" s="1">
        <v>1</v>
      </c>
      <c r="I9" s="1"/>
      <c r="J9" s="1"/>
      <c r="K9" s="1"/>
      <c r="L9" s="1"/>
      <c r="M9" s="1">
        <f t="shared" si="0"/>
        <v>4</v>
      </c>
      <c r="N9" s="1">
        <v>21.35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>
        <v>1</v>
      </c>
      <c r="H15" s="1"/>
      <c r="I15" s="1"/>
      <c r="J15" s="1"/>
      <c r="K15" s="1"/>
      <c r="L15" s="1"/>
      <c r="M15" s="1">
        <f t="shared" si="0"/>
        <v>1</v>
      </c>
      <c r="N15" s="1">
        <v>18.600000000000001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3" t="s">
        <v>12</v>
      </c>
      <c r="B22" s="4">
        <f t="shared" ref="B22:L22" si="1">SUM(B2:B21)</f>
        <v>4</v>
      </c>
      <c r="C22" s="4">
        <f t="shared" si="1"/>
        <v>5</v>
      </c>
      <c r="D22" s="4">
        <f t="shared" si="1"/>
        <v>15</v>
      </c>
      <c r="E22" s="4">
        <f t="shared" si="1"/>
        <v>12</v>
      </c>
      <c r="F22" s="4">
        <f t="shared" si="1"/>
        <v>7</v>
      </c>
      <c r="G22" s="4">
        <f t="shared" si="1"/>
        <v>2</v>
      </c>
      <c r="H22" s="4">
        <f t="shared" si="1"/>
        <v>1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M22" s="1">
        <f t="shared" si="0"/>
        <v>46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>
        <v>11</v>
      </c>
      <c r="C14" s="1">
        <v>11</v>
      </c>
      <c r="D14" s="1">
        <v>16</v>
      </c>
      <c r="E14" s="1">
        <v>10</v>
      </c>
      <c r="F14" s="1">
        <v>1</v>
      </c>
      <c r="G14" s="1">
        <v>2</v>
      </c>
      <c r="H14" s="1">
        <v>1</v>
      </c>
      <c r="I14" s="1"/>
      <c r="J14" s="1"/>
      <c r="K14" s="1"/>
      <c r="L14" s="1"/>
      <c r="M14" s="1">
        <f t="shared" si="0"/>
        <v>52</v>
      </c>
      <c r="N14" s="1">
        <v>6.65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3" t="s">
        <v>12</v>
      </c>
      <c r="B22" s="4">
        <f t="shared" ref="B22:L22" si="1">SUM(B2:B21)</f>
        <v>11</v>
      </c>
      <c r="C22" s="4">
        <f t="shared" si="1"/>
        <v>11</v>
      </c>
      <c r="D22" s="4">
        <f t="shared" si="1"/>
        <v>16</v>
      </c>
      <c r="E22" s="4">
        <f t="shared" si="1"/>
        <v>10</v>
      </c>
      <c r="F22" s="4">
        <f t="shared" si="1"/>
        <v>1</v>
      </c>
      <c r="G22" s="4">
        <f t="shared" si="1"/>
        <v>2</v>
      </c>
      <c r="H22" s="4">
        <f t="shared" si="1"/>
        <v>1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M22" s="1">
        <f t="shared" si="0"/>
        <v>52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>
        <v>17</v>
      </c>
      <c r="C14" s="1">
        <v>13</v>
      </c>
      <c r="D14" s="1">
        <v>5</v>
      </c>
      <c r="E14" s="1">
        <v>5</v>
      </c>
      <c r="F14" s="1"/>
      <c r="G14" s="1">
        <v>1</v>
      </c>
      <c r="H14" s="1"/>
      <c r="I14" s="1"/>
      <c r="J14" s="1"/>
      <c r="K14" s="1"/>
      <c r="L14" s="1"/>
      <c r="M14" s="1">
        <f t="shared" si="0"/>
        <v>41</v>
      </c>
      <c r="N14" s="1">
        <v>11.65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3" t="s">
        <v>12</v>
      </c>
      <c r="B22" s="4">
        <f t="shared" ref="B22:L22" si="1">SUM(B2:B21)</f>
        <v>17</v>
      </c>
      <c r="C22" s="4">
        <f t="shared" si="1"/>
        <v>13</v>
      </c>
      <c r="D22" s="4">
        <f t="shared" si="1"/>
        <v>5</v>
      </c>
      <c r="E22" s="4">
        <f t="shared" si="1"/>
        <v>5</v>
      </c>
      <c r="F22" s="4">
        <f t="shared" si="1"/>
        <v>0</v>
      </c>
      <c r="G22" s="4">
        <f t="shared" si="1"/>
        <v>1</v>
      </c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M22" s="1">
        <f t="shared" si="0"/>
        <v>41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>
        <v>2</v>
      </c>
      <c r="C5" s="1">
        <v>2</v>
      </c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4</v>
      </c>
      <c r="N5" s="1">
        <v>7.35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>
        <v>1</v>
      </c>
      <c r="C14" s="1">
        <v>3</v>
      </c>
      <c r="D14" s="1">
        <v>2</v>
      </c>
      <c r="E14" s="1">
        <v>1</v>
      </c>
      <c r="F14" s="1"/>
      <c r="G14" s="1">
        <v>1</v>
      </c>
      <c r="H14" s="1"/>
      <c r="I14" s="1"/>
      <c r="J14" s="1"/>
      <c r="K14" s="1"/>
      <c r="L14" s="1"/>
      <c r="M14" s="1">
        <f t="shared" si="0"/>
        <v>8</v>
      </c>
      <c r="N14" s="1">
        <v>12.6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3" t="s">
        <v>12</v>
      </c>
      <c r="B22" s="4">
        <f t="shared" ref="B22:L22" si="1">SUM(B2:B21)</f>
        <v>3</v>
      </c>
      <c r="C22" s="4">
        <f t="shared" si="1"/>
        <v>5</v>
      </c>
      <c r="D22" s="4">
        <f t="shared" si="1"/>
        <v>2</v>
      </c>
      <c r="E22" s="4">
        <f t="shared" si="1"/>
        <v>1</v>
      </c>
      <c r="F22" s="4">
        <f t="shared" si="1"/>
        <v>0</v>
      </c>
      <c r="G22" s="4">
        <f t="shared" si="1"/>
        <v>1</v>
      </c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M22" s="1">
        <f t="shared" si="0"/>
        <v>12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1000"/>
  <sheetViews>
    <sheetView workbookViewId="0">
      <selection activeCell="H12" sqref="H12"/>
    </sheetView>
  </sheetViews>
  <sheetFormatPr baseColWidth="10" defaultColWidth="12.625" defaultRowHeight="15" customHeight="1" x14ac:dyDescent="0.2"/>
  <cols>
    <col min="1" max="1" width="19.5" customWidth="1"/>
  </cols>
  <sheetData>
    <row r="1" spans="1:25" ht="14.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customHeight="1" x14ac:dyDescent="0.2">
      <c r="A2" s="5" t="s">
        <v>14</v>
      </c>
      <c r="B2" s="3">
        <v>1</v>
      </c>
      <c r="C2" s="3">
        <v>4</v>
      </c>
      <c r="D2" s="3"/>
      <c r="E2" s="3">
        <v>1</v>
      </c>
      <c r="F2" s="3">
        <v>1</v>
      </c>
      <c r="G2" s="3"/>
      <c r="H2" s="3"/>
      <c r="I2" s="3"/>
      <c r="J2" s="3"/>
      <c r="K2" s="3"/>
      <c r="L2" s="3"/>
      <c r="M2" s="1">
        <f t="shared" ref="M2:M22" si="0">SUM(B2:L2)</f>
        <v>7</v>
      </c>
      <c r="N2" s="3">
        <v>8.6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 customHeight="1" x14ac:dyDescent="0.2">
      <c r="A3" s="5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>
        <f t="shared" si="0"/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customHeight="1" x14ac:dyDescent="0.2">
      <c r="A4" s="5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>
        <f t="shared" si="0"/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 customHeight="1" x14ac:dyDescent="0.2">
      <c r="A5" s="5" t="s">
        <v>17</v>
      </c>
      <c r="B5" s="3"/>
      <c r="C5" s="3">
        <v>1</v>
      </c>
      <c r="D5" s="3"/>
      <c r="E5" s="3"/>
      <c r="F5" s="3"/>
      <c r="G5" s="3"/>
      <c r="H5" s="3"/>
      <c r="I5" s="3"/>
      <c r="J5" s="3"/>
      <c r="K5" s="3"/>
      <c r="L5" s="3"/>
      <c r="M5" s="1">
        <f t="shared" si="0"/>
        <v>1</v>
      </c>
      <c r="N5" s="3">
        <v>6.16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" customHeight="1" x14ac:dyDescent="0.2">
      <c r="A6" s="5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">
        <f t="shared" si="0"/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 customHeight="1" x14ac:dyDescent="0.2">
      <c r="A7" s="5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>
        <f t="shared" si="0"/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2">
      <c r="A8" s="5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">
        <f t="shared" si="0"/>
        <v>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customHeight="1" x14ac:dyDescent="0.2">
      <c r="A9" s="5" t="s">
        <v>35</v>
      </c>
      <c r="B9" s="3">
        <v>1</v>
      </c>
      <c r="C9" s="3"/>
      <c r="D9" s="3"/>
      <c r="E9" s="3"/>
      <c r="F9" s="3"/>
      <c r="G9" s="3"/>
      <c r="H9" s="3">
        <v>1</v>
      </c>
      <c r="I9" s="3"/>
      <c r="J9" s="3"/>
      <c r="K9" s="3"/>
      <c r="L9" s="3"/>
      <c r="M9" s="1">
        <f t="shared" si="0"/>
        <v>2</v>
      </c>
      <c r="N9" s="3">
        <v>14.6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 customHeight="1" x14ac:dyDescent="0.2">
      <c r="A10" s="5" t="s">
        <v>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">
        <f t="shared" si="0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customHeight="1" x14ac:dyDescent="0.2">
      <c r="A11" s="5" t="s">
        <v>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">
        <f t="shared" si="0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 customHeight="1" x14ac:dyDescent="0.2">
      <c r="A12" s="5" t="s">
        <v>23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">
        <f t="shared" si="0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 customHeight="1" x14ac:dyDescent="0.2">
      <c r="A13" s="5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">
        <f t="shared" si="0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 customHeight="1" x14ac:dyDescent="0.2">
      <c r="A14" s="5" t="s">
        <v>25</v>
      </c>
      <c r="B14" s="4"/>
      <c r="C14" s="4">
        <v>4</v>
      </c>
      <c r="D14" s="4">
        <v>3</v>
      </c>
      <c r="E14" s="4">
        <v>2</v>
      </c>
      <c r="F14" s="4">
        <v>3</v>
      </c>
      <c r="G14" s="4">
        <v>5</v>
      </c>
      <c r="H14" s="4"/>
      <c r="I14" s="3"/>
      <c r="J14" s="3"/>
      <c r="K14" s="3">
        <v>1</v>
      </c>
      <c r="L14" s="3"/>
      <c r="M14" s="1">
        <f t="shared" si="0"/>
        <v>18</v>
      </c>
      <c r="N14" s="4">
        <v>10.85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 customHeight="1" x14ac:dyDescent="0.2">
      <c r="A15" s="5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">
        <f t="shared" si="0"/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x14ac:dyDescent="0.2">
      <c r="A16" s="5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">
        <f t="shared" si="0"/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x14ac:dyDescent="0.2">
      <c r="A17" s="5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">
        <f t="shared" si="0"/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x14ac:dyDescent="0.2">
      <c r="A18" s="5" t="s">
        <v>29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">
        <f t="shared" si="0"/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x14ac:dyDescent="0.2">
      <c r="A19" s="5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">
        <f t="shared" si="0"/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x14ac:dyDescent="0.2">
      <c r="A20" s="5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">
        <f t="shared" si="0"/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x14ac:dyDescent="0.2">
      <c r="A21" s="5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">
        <f t="shared" si="0"/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x14ac:dyDescent="0.2">
      <c r="A22" s="3" t="s">
        <v>12</v>
      </c>
      <c r="B22" s="4">
        <f t="shared" ref="B22:L22" si="1">SUM(B2:B21)</f>
        <v>2</v>
      </c>
      <c r="C22" s="4">
        <f t="shared" si="1"/>
        <v>9</v>
      </c>
      <c r="D22" s="4">
        <f t="shared" si="1"/>
        <v>3</v>
      </c>
      <c r="E22" s="4">
        <f t="shared" si="1"/>
        <v>3</v>
      </c>
      <c r="F22" s="4">
        <f t="shared" si="1"/>
        <v>4</v>
      </c>
      <c r="G22" s="4">
        <f t="shared" si="1"/>
        <v>5</v>
      </c>
      <c r="H22" s="4">
        <f t="shared" si="1"/>
        <v>1</v>
      </c>
      <c r="I22" s="4">
        <f t="shared" si="1"/>
        <v>0</v>
      </c>
      <c r="J22" s="4">
        <f t="shared" si="1"/>
        <v>0</v>
      </c>
      <c r="K22" s="4">
        <f t="shared" si="1"/>
        <v>1</v>
      </c>
      <c r="L22" s="4">
        <f t="shared" si="1"/>
        <v>0</v>
      </c>
      <c r="M22" s="1">
        <f t="shared" si="0"/>
        <v>28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2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4.2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4.2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4.2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2" si="0">SUM(B2:L2)</f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>
        <v>18</v>
      </c>
      <c r="C14" s="1">
        <v>21</v>
      </c>
      <c r="D14" s="1">
        <v>17</v>
      </c>
      <c r="E14" s="1">
        <v>8</v>
      </c>
      <c r="F14" s="1">
        <v>1</v>
      </c>
      <c r="G14" s="1">
        <v>3</v>
      </c>
      <c r="H14" s="1">
        <v>1</v>
      </c>
      <c r="I14" s="1"/>
      <c r="J14" s="1"/>
      <c r="K14" s="1"/>
      <c r="L14" s="1"/>
      <c r="M14" s="1">
        <f t="shared" si="0"/>
        <v>69</v>
      </c>
      <c r="N14" s="1">
        <v>9.1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1" t="s">
        <v>12</v>
      </c>
      <c r="B22" s="1">
        <f t="shared" ref="B22:L22" si="1">SUM(B2:B21)</f>
        <v>18</v>
      </c>
      <c r="C22" s="1">
        <f t="shared" si="1"/>
        <v>21</v>
      </c>
      <c r="D22" s="1">
        <f t="shared" si="1"/>
        <v>17</v>
      </c>
      <c r="E22" s="1">
        <f t="shared" si="1"/>
        <v>8</v>
      </c>
      <c r="F22" s="1">
        <f t="shared" si="1"/>
        <v>1</v>
      </c>
      <c r="G22" s="1">
        <f t="shared" si="1"/>
        <v>3</v>
      </c>
      <c r="H22" s="1">
        <f t="shared" si="1"/>
        <v>1</v>
      </c>
      <c r="I22" s="1">
        <f t="shared" si="1"/>
        <v>0</v>
      </c>
      <c r="J22" s="1">
        <f t="shared" si="1"/>
        <v>0</v>
      </c>
      <c r="K22" s="1">
        <f t="shared" si="1"/>
        <v>0</v>
      </c>
      <c r="L22" s="1">
        <f t="shared" si="1"/>
        <v>0</v>
      </c>
      <c r="M22" s="1">
        <f t="shared" si="0"/>
        <v>69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002"/>
  <sheetViews>
    <sheetView tabSelected="1" workbookViewId="0">
      <selection activeCell="E25" sqref="E25"/>
    </sheetView>
  </sheetViews>
  <sheetFormatPr baseColWidth="10" defaultColWidth="12.625" defaultRowHeight="15" customHeight="1" x14ac:dyDescent="0.2"/>
  <cols>
    <col min="1" max="1" width="17.625" customWidth="1"/>
    <col min="2" max="14" width="10.5" customWidth="1"/>
    <col min="15" max="25" width="8.625" customWidth="1"/>
  </cols>
  <sheetData>
    <row r="1" spans="1:25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2" t="s">
        <v>14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>
        <f t="shared" ref="M2:M24" si="0">SUM(B2:L2)</f>
        <v>1</v>
      </c>
      <c r="N2" s="1">
        <v>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f t="shared" si="0"/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">
      <c r="A4" s="2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si="0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">
      <c r="A5" s="2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f t="shared" si="0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2">
      <c r="A6" s="2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2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2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si="0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2">
      <c r="A9" s="2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f t="shared" si="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2">
      <c r="A10" s="2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si="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">
      <c r="A11" s="2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">
      <c r="A12" s="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2">
      <c r="A13" s="2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">
      <c r="A14" s="2" t="s">
        <v>25</v>
      </c>
      <c r="B14" s="1">
        <v>2</v>
      </c>
      <c r="C14" s="1">
        <v>10</v>
      </c>
      <c r="D14" s="1">
        <v>6</v>
      </c>
      <c r="E14" s="1">
        <v>7</v>
      </c>
      <c r="F14" s="1">
        <v>5</v>
      </c>
      <c r="G14" s="1">
        <v>1</v>
      </c>
      <c r="H14" s="1">
        <v>1</v>
      </c>
      <c r="I14" s="1"/>
      <c r="J14" s="1"/>
      <c r="K14" s="1"/>
      <c r="L14" s="1">
        <v>1</v>
      </c>
      <c r="M14" s="1">
        <f t="shared" si="0"/>
        <v>33</v>
      </c>
      <c r="N14" s="1">
        <v>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2">
      <c r="A15" s="2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2">
      <c r="A16" s="2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2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">
      <c r="A19" s="2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">
      <c r="A20" s="2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">
      <c r="A21" s="2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">
      <c r="A22" s="2" t="s">
        <v>33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f t="shared" si="0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2" t="s">
        <v>34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f t="shared" si="0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">
      <c r="A24" s="1" t="s">
        <v>12</v>
      </c>
      <c r="B24" s="1">
        <f t="shared" ref="B24:L24" si="1">SUM(B2:B21)</f>
        <v>3</v>
      </c>
      <c r="C24" s="1">
        <f t="shared" si="1"/>
        <v>10</v>
      </c>
      <c r="D24" s="1">
        <f t="shared" si="1"/>
        <v>6</v>
      </c>
      <c r="E24" s="1">
        <f t="shared" si="1"/>
        <v>7</v>
      </c>
      <c r="F24" s="1">
        <f t="shared" si="1"/>
        <v>5</v>
      </c>
      <c r="G24" s="1">
        <f t="shared" si="1"/>
        <v>1</v>
      </c>
      <c r="H24" s="1">
        <f t="shared" si="1"/>
        <v>1</v>
      </c>
      <c r="I24" s="1">
        <f t="shared" si="1"/>
        <v>0</v>
      </c>
      <c r="J24" s="1">
        <f t="shared" si="1"/>
        <v>0</v>
      </c>
      <c r="K24" s="1">
        <f t="shared" si="1"/>
        <v>0</v>
      </c>
      <c r="L24" s="1">
        <f t="shared" si="1"/>
        <v>1</v>
      </c>
      <c r="M24" s="1">
        <f t="shared" si="0"/>
        <v>34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Site_13_Placette_A</vt:lpstr>
      <vt:lpstr>Site_13_Placette_B</vt:lpstr>
      <vt:lpstr>Site_14_Placette_A</vt:lpstr>
      <vt:lpstr>Site_14_Placette_B</vt:lpstr>
      <vt:lpstr>Site_15_Placette_A</vt:lpstr>
      <vt:lpstr>Site_15_Placette_B</vt:lpstr>
      <vt:lpstr>Site_16_Placette_A</vt:lpstr>
      <vt:lpstr>Site_16_Placette_B</vt:lpstr>
      <vt:lpstr>Site_17_Placette_A</vt:lpstr>
      <vt:lpstr>Site_17_Placette_B</vt:lpstr>
      <vt:lpstr>Site_5_Placette_A</vt:lpstr>
      <vt:lpstr>Site_5_Placette_B</vt:lpstr>
      <vt:lpstr>Site_19_Placette_A</vt:lpstr>
      <vt:lpstr>Site_19_Placette_B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 DUBOIS</cp:lastModifiedBy>
  <dcterms:modified xsi:type="dcterms:W3CDTF">2025-04-23T13:05:43Z</dcterms:modified>
</cp:coreProperties>
</file>