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slyonfr-my.sharepoint.com/personal/bastien_dubois_ens-lyon_fr/Documents/ENS/S6 - L3 Biosciences/TP_Ecologie/BD_Ecolostats/Data/"/>
    </mc:Choice>
  </mc:AlternateContent>
  <xr:revisionPtr revIDLastSave="1" documentId="11_EC34F5C9434C60E71F661AC100C9CCAABE312A9D" xr6:coauthVersionLast="47" xr6:coauthVersionMax="47" xr10:uidLastSave="{D27C3C16-1A3C-4266-A0AE-DC0BA47266CD}"/>
  <bookViews>
    <workbookView minimized="1" xWindow="2616" yWindow="2616" windowWidth="10368" windowHeight="6720" xr2:uid="{00000000-000D-0000-FFFF-FFFF00000000}"/>
  </bookViews>
  <sheets>
    <sheet name="Site_13_Placette_A" sheetId="1" r:id="rId1"/>
    <sheet name="Site_13_Placette_B" sheetId="2" r:id="rId2"/>
    <sheet name="Site_14_Placette_A" sheetId="3" r:id="rId3"/>
    <sheet name="Site_14_Placette_B" sheetId="4" r:id="rId4"/>
    <sheet name="Site_15_Placette_A" sheetId="5" r:id="rId5"/>
    <sheet name="Site_15_Placette_B" sheetId="6" r:id="rId6"/>
    <sheet name="Site_16_Placette_A" sheetId="7" r:id="rId7"/>
    <sheet name="Site_16_Placette_B" sheetId="8" r:id="rId8"/>
    <sheet name="Site_17_Placette_A" sheetId="9" r:id="rId9"/>
    <sheet name="Site_17_Placette_B" sheetId="10" r:id="rId10"/>
    <sheet name="Site_5_Placette_A" sheetId="11" r:id="rId11"/>
    <sheet name="Site_5_Placette_B" sheetId="12" r:id="rId12"/>
    <sheet name="Site_19_Placette_A" sheetId="13" r:id="rId13"/>
    <sheet name="Site_19_Placette_B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14" l="1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<sst xmlns="http://schemas.openxmlformats.org/spreadsheetml/2006/main" count="322" uniqueCount="24">
  <si>
    <t>Espece</t>
  </si>
  <si>
    <t>Acer_campestre</t>
  </si>
  <si>
    <t>Acer_platanoides</t>
  </si>
  <si>
    <t>Alnus_glutinosa</t>
  </si>
  <si>
    <t>Carpinus_betulus</t>
  </si>
  <si>
    <t>Castanea_sativa</t>
  </si>
  <si>
    <t>Corylus_avellana</t>
  </si>
  <si>
    <t>Crataegus_sp</t>
  </si>
  <si>
    <t>Ilex_aquifolium</t>
  </si>
  <si>
    <t>Populus_nigra</t>
  </si>
  <si>
    <t>Prunus_avium</t>
  </si>
  <si>
    <t>Quercus_petraea</t>
  </si>
  <si>
    <t>Quercus_pubescens</t>
  </si>
  <si>
    <t>Quercus_robur</t>
  </si>
  <si>
    <t>Robinia_pseudoacacia</t>
  </si>
  <si>
    <t>Salix_sp</t>
  </si>
  <si>
    <t>Sambucus_nigra</t>
  </si>
  <si>
    <t>Sorbus_acuparia</t>
  </si>
  <si>
    <t>Sorbus_torminalis</t>
  </si>
  <si>
    <t>Tillia_grandifolia</t>
  </si>
  <si>
    <t>?</t>
  </si>
  <si>
    <t>Total</t>
  </si>
  <si>
    <t xml:space="preserve">Total </t>
  </si>
  <si>
    <t>Fraxinus_excelsior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</si>
</sst>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scheme val="minor"/>
    </font>
    <font>
      <sz val="11"/>
      <color rgb="FF000000"/>
      <name val="Arial"/>
    </font>
    <font>
      <i/>
      <sz val="10"/>
      <color rgb="FF000000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1" sqref="E11"/>
    </sheetView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10">
        <v>8</v>
      </c>
      <c r="C22" s="6">
        <v>3</v>
      </c>
      <c r="D22" s="6">
        <v>2</v>
      </c>
      <c r="E22" s="6">
        <v>1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8</v>
      </c>
      <c r="C23" s="6">
        <f t="shared" si="0"/>
        <v>3</v>
      </c>
      <c r="D23" s="6">
        <f t="shared" si="0"/>
        <v>2</v>
      </c>
      <c r="E23" s="6">
        <f t="shared" si="0"/>
        <v>1</v>
      </c>
      <c r="F23" s="6">
        <f t="shared" si="0"/>
        <v>1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10">
        <v>6</v>
      </c>
      <c r="C13" s="6">
        <v>1</v>
      </c>
      <c r="D13" s="6">
        <v>1</v>
      </c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6</v>
      </c>
      <c r="C23" s="6">
        <f t="shared" si="0"/>
        <v>1</v>
      </c>
      <c r="D23" s="6">
        <f t="shared" si="0"/>
        <v>1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5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5</v>
      </c>
      <c r="C23" s="6">
        <f t="shared" si="0"/>
        <v>0</v>
      </c>
      <c r="D23" s="6">
        <f t="shared" si="0"/>
        <v>2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4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30" width="10.5" customWidth="1"/>
  </cols>
  <sheetData>
    <row r="1" spans="1:30" ht="13.5" customHeight="1" x14ac:dyDescent="0.25">
      <c r="A1" s="1" t="s">
        <v>0</v>
      </c>
      <c r="B1" s="2">
        <v>1</v>
      </c>
      <c r="C1" s="2">
        <v>4</v>
      </c>
      <c r="D1" s="2">
        <v>7</v>
      </c>
      <c r="E1" s="2">
        <f>30/3.14</f>
        <v>9.5541401273885338</v>
      </c>
      <c r="F1" s="2">
        <f>40/3.14</f>
        <v>12.738853503184712</v>
      </c>
      <c r="G1" s="2">
        <f>50/3.14</f>
        <v>15.923566878980891</v>
      </c>
      <c r="H1" s="2">
        <f>60/3.14</f>
        <v>19.108280254777068</v>
      </c>
      <c r="I1" s="2">
        <f>70/3.14</f>
        <v>22.292993630573246</v>
      </c>
      <c r="J1" s="2">
        <f>80/3.14</f>
        <v>25.477707006369425</v>
      </c>
      <c r="K1" s="2">
        <f>90/3.14</f>
        <v>28.662420382165603</v>
      </c>
      <c r="L1" s="2">
        <f>100/3.14</f>
        <v>31.847133757961782</v>
      </c>
      <c r="M1" s="2">
        <f>110/3.14</f>
        <v>35.031847133757964</v>
      </c>
      <c r="N1" s="2">
        <f>120/3.14</f>
        <v>38.216560509554135</v>
      </c>
      <c r="O1" s="2">
        <f>130/3.14</f>
        <v>41.401273885350314</v>
      </c>
      <c r="P1" s="2">
        <f>140/3.14</f>
        <v>44.585987261146492</v>
      </c>
      <c r="Q1" s="2">
        <f>150/3.14</f>
        <v>47.770700636942671</v>
      </c>
      <c r="R1" s="2">
        <f>160/3.14</f>
        <v>50.955414012738849</v>
      </c>
      <c r="S1" s="2">
        <f>170/3.14</f>
        <v>54.140127388535028</v>
      </c>
      <c r="T1" s="2">
        <f>180/3.14</f>
        <v>57.324840764331206</v>
      </c>
      <c r="U1" s="2">
        <f>190/3.14</f>
        <v>60.509554140127385</v>
      </c>
      <c r="V1" s="2">
        <f>200/3.14</f>
        <v>63.694267515923563</v>
      </c>
      <c r="W1" s="2">
        <f>210/3.14</f>
        <v>66.878980891719749</v>
      </c>
      <c r="X1" s="2">
        <f>220/3.14</f>
        <v>70.063694267515928</v>
      </c>
      <c r="Y1" s="2">
        <f>230/3.14</f>
        <v>73.248407643312106</v>
      </c>
      <c r="Z1" s="2">
        <f>240/3.14</f>
        <v>76.43312101910827</v>
      </c>
      <c r="AA1" s="2">
        <f>250/3.14</f>
        <v>79.617834394904449</v>
      </c>
      <c r="AB1" s="2">
        <v>260</v>
      </c>
      <c r="AC1" s="3"/>
      <c r="AD1" s="6"/>
    </row>
    <row r="2" spans="1:30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  <c r="AD2" s="6"/>
    </row>
    <row r="3" spans="1:30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6"/>
    </row>
    <row r="4" spans="1:30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/>
      <c r="AD4" s="6"/>
    </row>
    <row r="5" spans="1:30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D5" s="6"/>
    </row>
    <row r="6" spans="1:30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/>
      <c r="AD6" s="6"/>
    </row>
    <row r="7" spans="1:30" ht="13.5" customHeight="1" x14ac:dyDescent="0.25">
      <c r="A7" s="8" t="s">
        <v>6</v>
      </c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6"/>
    </row>
    <row r="8" spans="1:30" ht="13.5" customHeight="1" x14ac:dyDescent="0.25">
      <c r="A8" s="8" t="s">
        <v>7</v>
      </c>
      <c r="B8" s="11"/>
      <c r="C8" s="11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5"/>
      <c r="AD8" s="6"/>
    </row>
    <row r="9" spans="1:30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"/>
      <c r="AD9" s="6"/>
    </row>
    <row r="10" spans="1:30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6"/>
    </row>
    <row r="11" spans="1:30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6"/>
    </row>
    <row r="12" spans="1:30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6"/>
    </row>
    <row r="13" spans="1:30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6"/>
    </row>
    <row r="14" spans="1:30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6"/>
    </row>
    <row r="15" spans="1:30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6"/>
    </row>
    <row r="16" spans="1:30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6"/>
    </row>
    <row r="17" spans="1:30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5"/>
      <c r="AD17" s="6"/>
    </row>
    <row r="18" spans="1:30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5"/>
      <c r="AD18" s="6"/>
    </row>
    <row r="19" spans="1:30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5"/>
      <c r="AD19" s="6"/>
    </row>
    <row r="20" spans="1:30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5"/>
      <c r="AD20" s="6"/>
    </row>
    <row r="21" spans="1:30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5"/>
      <c r="AD21" s="6"/>
    </row>
    <row r="22" spans="1:30" ht="13.5" customHeight="1" x14ac:dyDescent="0.25">
      <c r="A22" s="9" t="s">
        <v>20</v>
      </c>
      <c r="B22" s="6"/>
      <c r="C22" s="6">
        <v>1</v>
      </c>
      <c r="D22" s="6">
        <v>1</v>
      </c>
      <c r="E22" s="6"/>
      <c r="F22" s="6"/>
      <c r="G22" s="6">
        <v>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3.5" customHeight="1" x14ac:dyDescent="0.25">
      <c r="A23" s="6" t="s">
        <v>21</v>
      </c>
      <c r="B23" s="6">
        <f t="shared" ref="B23:AB23" si="0">SUM(B2:B22)</f>
        <v>0</v>
      </c>
      <c r="C23" s="6">
        <f t="shared" si="0"/>
        <v>1</v>
      </c>
      <c r="D23" s="6">
        <f t="shared" si="0"/>
        <v>1</v>
      </c>
      <c r="E23" s="6">
        <f t="shared" si="0"/>
        <v>0</v>
      </c>
      <c r="F23" s="6">
        <f t="shared" si="0"/>
        <v>0</v>
      </c>
      <c r="G23" s="6">
        <f t="shared" si="0"/>
        <v>1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>
        <f t="shared" si="0"/>
        <v>0</v>
      </c>
      <c r="AA23" s="6">
        <f t="shared" si="0"/>
        <v>0</v>
      </c>
      <c r="AB23" s="6">
        <f t="shared" si="0"/>
        <v>0</v>
      </c>
      <c r="AC23" s="6"/>
      <c r="AD23" s="6"/>
    </row>
    <row r="24" spans="1:30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30" width="10.5" customWidth="1"/>
  </cols>
  <sheetData>
    <row r="1" spans="1:30" ht="13.5" customHeight="1" x14ac:dyDescent="0.25">
      <c r="A1" s="1" t="s">
        <v>0</v>
      </c>
      <c r="B1" s="2">
        <v>1</v>
      </c>
      <c r="C1" s="2">
        <v>4</v>
      </c>
      <c r="D1" s="2">
        <v>7</v>
      </c>
      <c r="E1" s="2">
        <f>30/3.14</f>
        <v>9.5541401273885338</v>
      </c>
      <c r="F1" s="2">
        <f>40/3.14</f>
        <v>12.738853503184712</v>
      </c>
      <c r="G1" s="2">
        <f>50/3.14</f>
        <v>15.923566878980891</v>
      </c>
      <c r="H1" s="2">
        <f>60/3.14</f>
        <v>19.108280254777068</v>
      </c>
      <c r="I1" s="2">
        <f>70/3.14</f>
        <v>22.292993630573246</v>
      </c>
      <c r="J1" s="2">
        <f>80/3.14</f>
        <v>25.477707006369425</v>
      </c>
      <c r="K1" s="2">
        <f>90/3.14</f>
        <v>28.662420382165603</v>
      </c>
      <c r="L1" s="2">
        <f>100/3.14</f>
        <v>31.847133757961782</v>
      </c>
      <c r="M1" s="2">
        <f>110/3.14</f>
        <v>35.031847133757964</v>
      </c>
      <c r="N1" s="2">
        <f>120/3.14</f>
        <v>38.216560509554135</v>
      </c>
      <c r="O1" s="2">
        <f>130/3.14</f>
        <v>41.401273885350314</v>
      </c>
      <c r="P1" s="2">
        <f>140/3.14</f>
        <v>44.585987261146492</v>
      </c>
      <c r="Q1" s="2">
        <f>150/3.14</f>
        <v>47.770700636942671</v>
      </c>
      <c r="R1" s="2">
        <f>160/3.14</f>
        <v>50.955414012738849</v>
      </c>
      <c r="S1" s="2">
        <f>170/3.14</f>
        <v>54.140127388535028</v>
      </c>
      <c r="T1" s="2">
        <f>180/3.14</f>
        <v>57.324840764331206</v>
      </c>
      <c r="U1" s="2">
        <f>190/3.14</f>
        <v>60.509554140127385</v>
      </c>
      <c r="V1" s="2">
        <f>200/3.14</f>
        <v>63.694267515923563</v>
      </c>
      <c r="W1" s="2">
        <f>210/3.14</f>
        <v>66.878980891719749</v>
      </c>
      <c r="X1" s="2">
        <f>220/3.14</f>
        <v>70.063694267515928</v>
      </c>
      <c r="Y1" s="2">
        <f>230/3.14</f>
        <v>73.248407643312106</v>
      </c>
      <c r="Z1" s="2">
        <f>240/3.14</f>
        <v>76.43312101910827</v>
      </c>
      <c r="AA1" s="2">
        <f>250/3.14</f>
        <v>79.617834394904449</v>
      </c>
      <c r="AB1" s="2">
        <v>260</v>
      </c>
      <c r="AC1" s="3"/>
      <c r="AD1" s="6"/>
    </row>
    <row r="2" spans="1:30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  <c r="AD2" s="6"/>
    </row>
    <row r="3" spans="1:30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6"/>
    </row>
    <row r="4" spans="1:30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/>
      <c r="AD4" s="6"/>
    </row>
    <row r="5" spans="1:30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D5" s="6"/>
    </row>
    <row r="6" spans="1:30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/>
      <c r="AD6" s="6"/>
    </row>
    <row r="7" spans="1:30" ht="13.5" customHeight="1" x14ac:dyDescent="0.25">
      <c r="A7" s="8" t="s">
        <v>6</v>
      </c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6"/>
    </row>
    <row r="8" spans="1:30" ht="13.5" customHeight="1" x14ac:dyDescent="0.25">
      <c r="A8" s="8" t="s">
        <v>7</v>
      </c>
      <c r="B8" s="11"/>
      <c r="C8" s="11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5"/>
      <c r="AD8" s="6"/>
    </row>
    <row r="9" spans="1:30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"/>
      <c r="AD9" s="6"/>
    </row>
    <row r="10" spans="1:30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6"/>
    </row>
    <row r="11" spans="1:30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6"/>
    </row>
    <row r="12" spans="1:30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6"/>
    </row>
    <row r="13" spans="1:30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6"/>
    </row>
    <row r="14" spans="1:30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6"/>
    </row>
    <row r="15" spans="1:30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6"/>
    </row>
    <row r="16" spans="1:30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6"/>
    </row>
    <row r="17" spans="1:30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5"/>
      <c r="AD17" s="6"/>
    </row>
    <row r="18" spans="1:30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5"/>
      <c r="AD18" s="6"/>
    </row>
    <row r="19" spans="1:30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5"/>
      <c r="AD19" s="6"/>
    </row>
    <row r="20" spans="1:30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5"/>
      <c r="AD20" s="6"/>
    </row>
    <row r="21" spans="1:30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5"/>
      <c r="AD21" s="6"/>
    </row>
    <row r="22" spans="1:30" ht="13.5" customHeight="1" x14ac:dyDescent="0.25">
      <c r="A22" s="9" t="s">
        <v>20</v>
      </c>
      <c r="B22" s="6"/>
      <c r="C22" s="6">
        <v>1</v>
      </c>
      <c r="D22" s="6">
        <v>4</v>
      </c>
      <c r="E22" s="6">
        <v>2</v>
      </c>
      <c r="F22" s="6">
        <v>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3.5" customHeight="1" x14ac:dyDescent="0.25">
      <c r="A23" s="6" t="s">
        <v>21</v>
      </c>
      <c r="B23" s="6">
        <f t="shared" ref="B23:AB23" si="0">SUM(B2:B22)</f>
        <v>0</v>
      </c>
      <c r="C23" s="6">
        <f t="shared" si="0"/>
        <v>1</v>
      </c>
      <c r="D23" s="6">
        <f t="shared" si="0"/>
        <v>4</v>
      </c>
      <c r="E23" s="6">
        <f t="shared" si="0"/>
        <v>2</v>
      </c>
      <c r="F23" s="6">
        <f t="shared" si="0"/>
        <v>3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>
        <f t="shared" si="0"/>
        <v>0</v>
      </c>
      <c r="AA23" s="6">
        <f t="shared" si="0"/>
        <v>0</v>
      </c>
      <c r="AB23" s="6">
        <f t="shared" si="0"/>
        <v>0</v>
      </c>
      <c r="AC23" s="6"/>
      <c r="AD23" s="6"/>
    </row>
    <row r="24" spans="1:30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30" width="10.5" customWidth="1"/>
  </cols>
  <sheetData>
    <row r="1" spans="1:30" ht="13.5" customHeight="1" x14ac:dyDescent="0.25">
      <c r="A1" s="1" t="s">
        <v>0</v>
      </c>
      <c r="B1" s="2">
        <v>1</v>
      </c>
      <c r="C1" s="2">
        <v>4</v>
      </c>
      <c r="D1" s="2">
        <v>7</v>
      </c>
      <c r="E1" s="2">
        <f>30/3.14</f>
        <v>9.5541401273885338</v>
      </c>
      <c r="F1" s="2">
        <f>40/3.14</f>
        <v>12.738853503184712</v>
      </c>
      <c r="G1" s="2">
        <f>50/3.14</f>
        <v>15.923566878980891</v>
      </c>
      <c r="H1" s="2">
        <f>60/3.14</f>
        <v>19.108280254777068</v>
      </c>
      <c r="I1" s="2">
        <f>70/3.14</f>
        <v>22.292993630573246</v>
      </c>
      <c r="J1" s="2">
        <f>80/3.14</f>
        <v>25.477707006369425</v>
      </c>
      <c r="K1" s="2">
        <f>90/3.14</f>
        <v>28.662420382165603</v>
      </c>
      <c r="L1" s="2">
        <f>100/3.14</f>
        <v>31.847133757961782</v>
      </c>
      <c r="M1" s="2">
        <f>110/3.14</f>
        <v>35.031847133757964</v>
      </c>
      <c r="N1" s="2">
        <f>120/3.14</f>
        <v>38.216560509554135</v>
      </c>
      <c r="O1" s="2">
        <f>130/3.14</f>
        <v>41.401273885350314</v>
      </c>
      <c r="P1" s="2">
        <f>140/3.14</f>
        <v>44.585987261146492</v>
      </c>
      <c r="Q1" s="2">
        <f>150/3.14</f>
        <v>47.770700636942671</v>
      </c>
      <c r="R1" s="2">
        <f>160/3.14</f>
        <v>50.955414012738849</v>
      </c>
      <c r="S1" s="2">
        <f>170/3.14</f>
        <v>54.140127388535028</v>
      </c>
      <c r="T1" s="2">
        <f>180/3.14</f>
        <v>57.324840764331206</v>
      </c>
      <c r="U1" s="2">
        <f>190/3.14</f>
        <v>60.509554140127385</v>
      </c>
      <c r="V1" s="2">
        <f>200/3.14</f>
        <v>63.694267515923563</v>
      </c>
      <c r="W1" s="2">
        <f>210/3.14</f>
        <v>66.878980891719749</v>
      </c>
      <c r="X1" s="2">
        <f>220/3.14</f>
        <v>70.063694267515928</v>
      </c>
      <c r="Y1" s="2">
        <f>230/3.14</f>
        <v>73.248407643312106</v>
      </c>
      <c r="Z1" s="2">
        <f>240/3.14</f>
        <v>76.43312101910827</v>
      </c>
      <c r="AA1" s="2">
        <f>250/3.14</f>
        <v>79.617834394904449</v>
      </c>
      <c r="AB1" s="2">
        <v>260</v>
      </c>
      <c r="AC1" s="3"/>
      <c r="AD1" s="6"/>
    </row>
    <row r="2" spans="1:30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  <c r="AD2" s="6"/>
    </row>
    <row r="3" spans="1:30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6"/>
    </row>
    <row r="4" spans="1:30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/>
      <c r="AD4" s="6"/>
    </row>
    <row r="5" spans="1:30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D5" s="6"/>
    </row>
    <row r="6" spans="1:30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/>
      <c r="AD6" s="6"/>
    </row>
    <row r="7" spans="1:30" ht="13.5" customHeight="1" x14ac:dyDescent="0.25">
      <c r="A7" s="8" t="s">
        <v>6</v>
      </c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6"/>
    </row>
    <row r="8" spans="1:30" ht="13.5" customHeight="1" x14ac:dyDescent="0.25">
      <c r="A8" s="8" t="s">
        <v>7</v>
      </c>
      <c r="B8" s="11"/>
      <c r="C8" s="11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5"/>
      <c r="AD8" s="6"/>
    </row>
    <row r="9" spans="1:30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"/>
      <c r="AD9" s="6"/>
    </row>
    <row r="10" spans="1:30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6"/>
    </row>
    <row r="11" spans="1:30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6"/>
    </row>
    <row r="12" spans="1:30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6"/>
    </row>
    <row r="13" spans="1:30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6"/>
    </row>
    <row r="14" spans="1:30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6"/>
    </row>
    <row r="15" spans="1:30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6"/>
    </row>
    <row r="16" spans="1:30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6"/>
    </row>
    <row r="17" spans="1:30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5"/>
      <c r="AD17" s="6"/>
    </row>
    <row r="18" spans="1:30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5"/>
      <c r="AD18" s="6"/>
    </row>
    <row r="19" spans="1:30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5"/>
      <c r="AD19" s="6"/>
    </row>
    <row r="20" spans="1:30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5"/>
      <c r="AD20" s="6"/>
    </row>
    <row r="21" spans="1:30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5"/>
      <c r="AD21" s="6"/>
    </row>
    <row r="22" spans="1:30" ht="13.5" customHeight="1" x14ac:dyDescent="0.25">
      <c r="A22" s="9" t="s">
        <v>20</v>
      </c>
      <c r="B22" s="6"/>
      <c r="C22" s="6">
        <v>2</v>
      </c>
      <c r="D22" s="6">
        <v>4</v>
      </c>
      <c r="E22" s="6">
        <v>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3.5" customHeight="1" x14ac:dyDescent="0.25">
      <c r="A23" s="6" t="s">
        <v>21</v>
      </c>
      <c r="B23" s="6">
        <f t="shared" ref="B23:AB23" si="0">SUM(B2:B22)</f>
        <v>0</v>
      </c>
      <c r="C23" s="6">
        <f t="shared" si="0"/>
        <v>2</v>
      </c>
      <c r="D23" s="6">
        <f t="shared" si="0"/>
        <v>4</v>
      </c>
      <c r="E23" s="6">
        <f t="shared" si="0"/>
        <v>1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>
        <f t="shared" si="0"/>
        <v>0</v>
      </c>
      <c r="AA23" s="6">
        <f t="shared" si="0"/>
        <v>0</v>
      </c>
      <c r="AB23" s="6">
        <f t="shared" si="0"/>
        <v>0</v>
      </c>
      <c r="AC23" s="6"/>
      <c r="AD23" s="6"/>
    </row>
    <row r="24" spans="1:30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30" width="10.5" customWidth="1"/>
  </cols>
  <sheetData>
    <row r="1" spans="1:30" ht="13.5" customHeight="1" x14ac:dyDescent="0.25">
      <c r="A1" s="1" t="s">
        <v>0</v>
      </c>
      <c r="B1" s="2">
        <v>1</v>
      </c>
      <c r="C1" s="2">
        <v>4</v>
      </c>
      <c r="D1" s="2">
        <v>7</v>
      </c>
      <c r="E1" s="2">
        <f>30/3.14</f>
        <v>9.5541401273885338</v>
      </c>
      <c r="F1" s="2">
        <f>40/3.14</f>
        <v>12.738853503184712</v>
      </c>
      <c r="G1" s="2">
        <f>50/3.14</f>
        <v>15.923566878980891</v>
      </c>
      <c r="H1" s="2">
        <f>60/3.14</f>
        <v>19.108280254777068</v>
      </c>
      <c r="I1" s="2">
        <f>70/3.14</f>
        <v>22.292993630573246</v>
      </c>
      <c r="J1" s="2">
        <f>80/3.14</f>
        <v>25.477707006369425</v>
      </c>
      <c r="K1" s="2">
        <f>90/3.14</f>
        <v>28.662420382165603</v>
      </c>
      <c r="L1" s="2">
        <f>100/3.14</f>
        <v>31.847133757961782</v>
      </c>
      <c r="M1" s="2">
        <f>110/3.14</f>
        <v>35.031847133757964</v>
      </c>
      <c r="N1" s="2">
        <f>120/3.14</f>
        <v>38.216560509554135</v>
      </c>
      <c r="O1" s="2">
        <f>130/3.14</f>
        <v>41.401273885350314</v>
      </c>
      <c r="P1" s="2">
        <f>140/3.14</f>
        <v>44.585987261146492</v>
      </c>
      <c r="Q1" s="2">
        <f>150/3.14</f>
        <v>47.770700636942671</v>
      </c>
      <c r="R1" s="2">
        <f>160/3.14</f>
        <v>50.955414012738849</v>
      </c>
      <c r="S1" s="2">
        <f>170/3.14</f>
        <v>54.140127388535028</v>
      </c>
      <c r="T1" s="2">
        <f>180/3.14</f>
        <v>57.324840764331206</v>
      </c>
      <c r="U1" s="2">
        <f>190/3.14</f>
        <v>60.509554140127385</v>
      </c>
      <c r="V1" s="2">
        <f>200/3.14</f>
        <v>63.694267515923563</v>
      </c>
      <c r="W1" s="2">
        <f>210/3.14</f>
        <v>66.878980891719749</v>
      </c>
      <c r="X1" s="2">
        <f>220/3.14</f>
        <v>70.063694267515928</v>
      </c>
      <c r="Y1" s="2">
        <f>230/3.14</f>
        <v>73.248407643312106</v>
      </c>
      <c r="Z1" s="2">
        <f>240/3.14</f>
        <v>76.43312101910827</v>
      </c>
      <c r="AA1" s="2">
        <f>250/3.14</f>
        <v>79.617834394904449</v>
      </c>
      <c r="AB1" s="2">
        <v>260</v>
      </c>
      <c r="AC1" s="3"/>
      <c r="AD1" s="6"/>
    </row>
    <row r="2" spans="1:30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  <c r="AD2" s="6"/>
    </row>
    <row r="3" spans="1:30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6"/>
    </row>
    <row r="4" spans="1:30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/>
      <c r="AD4" s="6"/>
    </row>
    <row r="5" spans="1:30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D5" s="6"/>
    </row>
    <row r="6" spans="1:30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/>
      <c r="AD6" s="6"/>
    </row>
    <row r="7" spans="1:30" ht="13.5" customHeight="1" x14ac:dyDescent="0.25">
      <c r="A7" s="8" t="s">
        <v>6</v>
      </c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6"/>
    </row>
    <row r="8" spans="1:30" ht="13.5" customHeight="1" x14ac:dyDescent="0.25">
      <c r="A8" s="8" t="s">
        <v>7</v>
      </c>
      <c r="B8" s="11"/>
      <c r="C8" s="11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5"/>
      <c r="AD8" s="6"/>
    </row>
    <row r="9" spans="1:30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"/>
      <c r="AD9" s="6"/>
    </row>
    <row r="10" spans="1:30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6"/>
    </row>
    <row r="11" spans="1:30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6"/>
    </row>
    <row r="12" spans="1:30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D12" s="6"/>
    </row>
    <row r="13" spans="1:30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6"/>
    </row>
    <row r="14" spans="1:30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D14" s="6"/>
    </row>
    <row r="15" spans="1:30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6"/>
    </row>
    <row r="16" spans="1:30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6"/>
    </row>
    <row r="17" spans="1:30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5"/>
      <c r="AD17" s="6"/>
    </row>
    <row r="18" spans="1:30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5"/>
      <c r="AD18" s="6"/>
    </row>
    <row r="19" spans="1:30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5"/>
      <c r="AD19" s="6"/>
    </row>
    <row r="20" spans="1:30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5"/>
      <c r="AD20" s="6"/>
    </row>
    <row r="21" spans="1:30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5"/>
      <c r="AD21" s="6"/>
    </row>
    <row r="22" spans="1:30" ht="13.5" customHeight="1" x14ac:dyDescent="0.25">
      <c r="A22" s="9" t="s">
        <v>20</v>
      </c>
      <c r="B22" s="6"/>
      <c r="C22" s="6">
        <v>1</v>
      </c>
      <c r="D22" s="6">
        <v>5</v>
      </c>
      <c r="E22" s="6">
        <v>3</v>
      </c>
      <c r="F22" s="6">
        <v>3</v>
      </c>
      <c r="G22" s="6">
        <v>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3.5" customHeight="1" x14ac:dyDescent="0.25">
      <c r="A23" s="6" t="s">
        <v>21</v>
      </c>
      <c r="B23" s="6">
        <f t="shared" ref="B23:AB23" si="0">SUM(B2:B22)</f>
        <v>0</v>
      </c>
      <c r="C23" s="6">
        <f t="shared" si="0"/>
        <v>1</v>
      </c>
      <c r="D23" s="6">
        <f t="shared" si="0"/>
        <v>5</v>
      </c>
      <c r="E23" s="6">
        <f t="shared" si="0"/>
        <v>3</v>
      </c>
      <c r="F23" s="6">
        <f t="shared" si="0"/>
        <v>3</v>
      </c>
      <c r="G23" s="6">
        <f t="shared" si="0"/>
        <v>2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>
        <f t="shared" si="0"/>
        <v>0</v>
      </c>
      <c r="AA23" s="6">
        <f t="shared" si="0"/>
        <v>0</v>
      </c>
      <c r="AB23" s="6">
        <f t="shared" si="0"/>
        <v>0</v>
      </c>
      <c r="AC23" s="6"/>
      <c r="AD23" s="6"/>
    </row>
    <row r="24" spans="1:30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22</v>
      </c>
      <c r="B23" s="6">
        <f t="shared" ref="B23:Y23" si="0">SUM(B2:B22)</f>
        <v>3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1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3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8" width="10.5" customWidth="1"/>
  </cols>
  <sheetData>
    <row r="1" spans="1:28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  <c r="AA1" s="6"/>
      <c r="AB1" s="6"/>
    </row>
    <row r="2" spans="1:28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  <c r="AA2" s="6"/>
      <c r="AB2" s="6"/>
    </row>
    <row r="3" spans="1:28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  <c r="AA3" s="6"/>
      <c r="AB3" s="6"/>
    </row>
    <row r="4" spans="1:28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  <c r="AA4" s="6"/>
      <c r="AB4" s="6"/>
    </row>
    <row r="5" spans="1:28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  <c r="AA5" s="6"/>
      <c r="AB5" s="6"/>
    </row>
    <row r="6" spans="1:28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  <c r="AA6" s="6"/>
      <c r="AB6" s="6"/>
    </row>
    <row r="7" spans="1:28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  <c r="AA7" s="6"/>
      <c r="AB7" s="6"/>
    </row>
    <row r="8" spans="1:28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6"/>
      <c r="AB8" s="6"/>
    </row>
    <row r="9" spans="1:28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  <c r="AA9" s="6"/>
      <c r="AB9" s="6"/>
    </row>
    <row r="10" spans="1:28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  <c r="AA10" s="6"/>
      <c r="AB10" s="6"/>
    </row>
    <row r="11" spans="1:28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6"/>
      <c r="AB11" s="6"/>
    </row>
    <row r="12" spans="1:28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  <c r="AA12" s="6"/>
      <c r="AB12" s="6"/>
    </row>
    <row r="13" spans="1:28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  <c r="AA13" s="6"/>
      <c r="AB13" s="6"/>
    </row>
    <row r="14" spans="1:28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6"/>
      <c r="AB14" s="6"/>
    </row>
    <row r="15" spans="1:28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  <c r="AA15" s="6"/>
      <c r="AB15" s="6"/>
    </row>
    <row r="16" spans="1:28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6"/>
      <c r="AB16" s="6"/>
    </row>
    <row r="17" spans="1:28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  <c r="AA17" s="6"/>
      <c r="AB17" s="6"/>
    </row>
    <row r="18" spans="1:28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  <c r="AA18" s="6"/>
      <c r="AB18" s="6"/>
    </row>
    <row r="19" spans="1:28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  <c r="AA19" s="6"/>
      <c r="AB19" s="6"/>
    </row>
    <row r="20" spans="1:28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  <c r="AA20" s="6"/>
      <c r="AB20" s="6"/>
    </row>
    <row r="21" spans="1:28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  <c r="AA21" s="6"/>
      <c r="AB21" s="6"/>
    </row>
    <row r="22" spans="1:28" ht="13.5" customHeight="1" x14ac:dyDescent="0.25">
      <c r="A22" s="9" t="s">
        <v>20</v>
      </c>
      <c r="B22" s="6"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5" customHeight="1" x14ac:dyDescent="0.25">
      <c r="A23" s="6" t="s">
        <v>21</v>
      </c>
      <c r="B23" s="6">
        <f t="shared" ref="B23:AB23" si="0">SUM(B2:B22)</f>
        <v>1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>
        <f t="shared" si="0"/>
        <v>0</v>
      </c>
      <c r="AA23" s="6">
        <f t="shared" si="0"/>
        <v>0</v>
      </c>
      <c r="AB23" s="6">
        <f t="shared" si="0"/>
        <v>0</v>
      </c>
    </row>
    <row r="24" spans="1:28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pageMargins left="0" right="0" top="0" bottom="0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>
        <v>1</v>
      </c>
      <c r="C14" s="5">
        <v>1</v>
      </c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1</v>
      </c>
      <c r="C23" s="6">
        <f t="shared" si="0"/>
        <v>1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2.59765625" defaultRowHeight="15" customHeight="1" x14ac:dyDescent="0.25"/>
  <cols>
    <col min="1" max="1" width="17.59765625" customWidth="1"/>
    <col min="2" max="26" width="10.5" customWidth="1"/>
  </cols>
  <sheetData>
    <row r="1" spans="1:26" ht="13.5" customHeight="1" x14ac:dyDescent="0.25">
      <c r="A1" s="1" t="s">
        <v>0</v>
      </c>
      <c r="B1" s="2">
        <f>30/3.14</f>
        <v>9.5541401273885338</v>
      </c>
      <c r="C1" s="2">
        <f>40/3.14</f>
        <v>12.738853503184712</v>
      </c>
      <c r="D1" s="2">
        <f>50/3.14</f>
        <v>15.923566878980891</v>
      </c>
      <c r="E1" s="2">
        <f>60/3.14</f>
        <v>19.108280254777068</v>
      </c>
      <c r="F1" s="2">
        <f>70/3.14</f>
        <v>22.292993630573246</v>
      </c>
      <c r="G1" s="2">
        <f>80/3.14</f>
        <v>25.477707006369425</v>
      </c>
      <c r="H1" s="2">
        <f>90/3.14</f>
        <v>28.662420382165603</v>
      </c>
      <c r="I1" s="2">
        <f>100/3.14</f>
        <v>31.847133757961782</v>
      </c>
      <c r="J1" s="2">
        <f>110/3.14</f>
        <v>35.031847133757964</v>
      </c>
      <c r="K1" s="2">
        <f>120/3.14</f>
        <v>38.216560509554135</v>
      </c>
      <c r="L1" s="2">
        <f>130/3.14</f>
        <v>41.401273885350314</v>
      </c>
      <c r="M1" s="2">
        <f>140/3.14</f>
        <v>44.585987261146492</v>
      </c>
      <c r="N1" s="2">
        <f>150/3.14</f>
        <v>47.770700636942671</v>
      </c>
      <c r="O1" s="2">
        <f>160/3.14</f>
        <v>50.955414012738849</v>
      </c>
      <c r="P1" s="2">
        <f>170/3.14</f>
        <v>54.140127388535028</v>
      </c>
      <c r="Q1" s="2">
        <f>180/3.14</f>
        <v>57.324840764331206</v>
      </c>
      <c r="R1" s="2">
        <f>190/3.14</f>
        <v>60.509554140127385</v>
      </c>
      <c r="S1" s="2">
        <f>200/3.14</f>
        <v>63.694267515923563</v>
      </c>
      <c r="T1" s="2">
        <f>210/3.14</f>
        <v>66.878980891719749</v>
      </c>
      <c r="U1" s="2">
        <f>220/3.14</f>
        <v>70.063694267515928</v>
      </c>
      <c r="V1" s="2">
        <f>230/3.14</f>
        <v>73.248407643312106</v>
      </c>
      <c r="W1" s="2">
        <f>240/3.14</f>
        <v>76.43312101910827</v>
      </c>
      <c r="X1" s="2">
        <f>250/3.14</f>
        <v>79.617834394904449</v>
      </c>
      <c r="Y1" s="2">
        <v>260</v>
      </c>
      <c r="Z1" s="3"/>
    </row>
    <row r="2" spans="1:26" ht="13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 spans="1:26" ht="13.5" customHeight="1" x14ac:dyDescent="0.25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 spans="1:26" ht="13.5" customHeight="1" x14ac:dyDescent="0.25">
      <c r="A4" s="7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 spans="1:26" ht="13.5" customHeight="1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 spans="1:26" ht="13.5" customHeight="1" x14ac:dyDescent="0.25">
      <c r="A6" s="7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.5" customHeight="1" x14ac:dyDescent="0.25">
      <c r="A7" s="8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 spans="1:26" ht="13.5" customHeight="1" x14ac:dyDescent="0.25">
      <c r="A8" s="8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 spans="1:26" ht="13.5" customHeight="1" x14ac:dyDescent="0.25">
      <c r="A9" s="7" t="s">
        <v>23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 spans="1:26" ht="13.5" customHeight="1" x14ac:dyDescent="0.25">
      <c r="A10" s="7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 spans="1:26" ht="13.5" customHeight="1" x14ac:dyDescent="0.25">
      <c r="A11" s="7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 spans="1:26" ht="13.5" customHeight="1" x14ac:dyDescent="0.25">
      <c r="A12" s="7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 spans="1:26" ht="13.5" customHeight="1" x14ac:dyDescent="0.25">
      <c r="A13" s="7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 spans="1:26" ht="13.5" customHeight="1" x14ac:dyDescent="0.25">
      <c r="A14" s="7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 spans="1:26" ht="13.5" customHeight="1" x14ac:dyDescent="0.25">
      <c r="A15" s="7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 spans="1:26" ht="13.5" customHeight="1" x14ac:dyDescent="0.25">
      <c r="A16" s="7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 spans="1:26" ht="13.5" customHeight="1" x14ac:dyDescent="0.25">
      <c r="A17" s="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 spans="1:26" ht="13.5" customHeight="1" x14ac:dyDescent="0.25">
      <c r="A18" s="7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 spans="1:26" ht="13.5" customHeight="1" x14ac:dyDescent="0.25">
      <c r="A19" s="7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 spans="1:26" ht="13.5" customHeight="1" x14ac:dyDescent="0.25">
      <c r="A20" s="7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 spans="1:26" ht="13.5" customHeight="1" x14ac:dyDescent="0.25">
      <c r="A21" s="7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 spans="1:26" ht="13.5" customHeight="1" x14ac:dyDescent="0.25">
      <c r="A22" s="9" t="s">
        <v>20</v>
      </c>
      <c r="B22" s="6"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5">
      <c r="A23" s="6" t="s">
        <v>21</v>
      </c>
      <c r="B23" s="6">
        <f t="shared" ref="B23:Y23" si="0">SUM(B2:B22)</f>
        <v>1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  <c r="T23" s="6">
        <f t="shared" si="0"/>
        <v>0</v>
      </c>
      <c r="U23" s="6">
        <f t="shared" si="0"/>
        <v>0</v>
      </c>
      <c r="V23" s="6">
        <f t="shared" si="0"/>
        <v>0</v>
      </c>
      <c r="W23" s="6">
        <f t="shared" si="0"/>
        <v>0</v>
      </c>
      <c r="X23" s="6">
        <f t="shared" si="0"/>
        <v>0</v>
      </c>
      <c r="Y23" s="6">
        <f t="shared" si="0"/>
        <v>0</v>
      </c>
      <c r="Z23" s="6"/>
    </row>
    <row r="24" spans="1:26" ht="13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Site_13_Placette_A</vt:lpstr>
      <vt:lpstr>Site_13_Placette_B</vt:lpstr>
      <vt:lpstr>Site_14_Placette_A</vt:lpstr>
      <vt:lpstr>Site_14_Placette_B</vt:lpstr>
      <vt:lpstr>Site_15_Placette_A</vt:lpstr>
      <vt:lpstr>Site_15_Placette_B</vt:lpstr>
      <vt:lpstr>Site_16_Placette_A</vt:lpstr>
      <vt:lpstr>Site_16_Placette_B</vt:lpstr>
      <vt:lpstr>Site_17_Placette_A</vt:lpstr>
      <vt:lpstr>Site_17_Placette_B</vt:lpstr>
      <vt:lpstr>Site_5_Placette_A</vt:lpstr>
      <vt:lpstr>Site_5_Placette_B</vt:lpstr>
      <vt:lpstr>Site_19_Placette_A</vt:lpstr>
      <vt:lpstr>Site_19_Placette_B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DUBOIS</cp:lastModifiedBy>
  <dcterms:modified xsi:type="dcterms:W3CDTF">2025-04-22T12:58:13Z</dcterms:modified>
</cp:coreProperties>
</file>